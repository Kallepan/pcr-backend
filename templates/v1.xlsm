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Lauf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F23" i="1"/>
  <c r="F21" i="1"/>
  <c r="F19" i="1"/>
  <c r="F17" i="1"/>
  <c r="F14" i="1"/>
  <c r="F13" i="1"/>
  <c r="F20" i="1"/>
  <c r="F12" i="1"/>
  <c r="F18" i="1"/>
  <c r="F16" i="1"/>
  <c r="F15" i="1"/>
</calcChain>
</file>

<file path=xl/sharedStrings.xml><?xml version="1.0" encoding="utf-8"?>
<sst xmlns="http://schemas.openxmlformats.org/spreadsheetml/2006/main" count="28" uniqueCount="18">
  <si>
    <t>Barcode</t>
  </si>
  <si>
    <t>Nr.</t>
  </si>
  <si>
    <t>Dat.</t>
  </si>
  <si>
    <t>LaufId</t>
  </si>
  <si>
    <t>NICHT FÜR TBC</t>
  </si>
  <si>
    <t>QK Eingabe: __________</t>
  </si>
  <si>
    <t>Analyt-Material-Assay</t>
  </si>
  <si>
    <t xml:space="preserve">Kontrolle APL / Reihenfolge der Proben im Gerät:__________________              </t>
  </si>
  <si>
    <t>Sputasol Charge:______________</t>
  </si>
  <si>
    <t xml:space="preserve">QK Chargenwechsel (ja/nein): ____________F300: _______________ </t>
  </si>
  <si>
    <t xml:space="preserve">Auswertung:__________Ergebniseingabe: ___________Validation: ________________Kontrolle: _____________ </t>
  </si>
  <si>
    <t xml:space="preserve">Ersteller: Kandeepan </t>
  </si>
  <si>
    <t>Tagesnummer, Name</t>
  </si>
  <si>
    <t>Kommentar (ELU, Vol)</t>
  </si>
  <si>
    <t>nzahwmk / pzahwmk</t>
  </si>
  <si>
    <t>BAL / SPU / SE + SPUTA</t>
  </si>
  <si>
    <t/>
  </si>
  <si>
    <t>Geändert: Gazdag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</si>
</sst>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Verdana"/>
      <family val="2"/>
    </font>
    <font>
      <sz val="11"/>
      <name val="Verdana"/>
      <family val="2"/>
    </font>
    <font>
      <sz val="14"/>
      <color theme="1"/>
      <name val="Verdana"/>
      <family val="2"/>
    </font>
    <font>
      <sz val="16"/>
      <color theme="1"/>
      <name val="Verdana"/>
      <family val="2"/>
    </font>
    <font>
      <b/>
      <sz val="11"/>
      <color theme="1"/>
      <name val="Verdana"/>
      <family val="2"/>
    </font>
    <font>
      <b/>
      <sz val="22"/>
      <color theme="1"/>
      <name val="Verdana"/>
      <family val="2"/>
    </font>
    <font>
      <sz val="48"/>
      <color theme="1"/>
      <name val="Code 128"/>
    </font>
    <font>
      <b/>
      <sz val="11"/>
      <color rgb="FF00008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1" fillId="2" borderId="0" xfId="1" applyAlignment="1"/>
    <xf numFmtId="0" fontId="7" fillId="0" borderId="0" xfId="0" applyFont="1"/>
    <xf numFmtId="0" fontId="7" fillId="0" borderId="0" xfId="0" applyFont="1" applyAlignment="1"/>
    <xf numFmtId="0" fontId="8" fillId="0" borderId="2" xfId="0" applyFont="1" applyBorder="1"/>
    <xf numFmtId="0" fontId="8" fillId="0" borderId="3" xfId="0" applyFont="1" applyBorder="1"/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right" vertical="top"/>
    </xf>
    <xf numFmtId="0" fontId="9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left" vertical="top"/>
    </xf>
    <xf numFmtId="0" fontId="1" fillId="2" borderId="0" xfId="1" applyAlignment="1">
      <alignment horizontal="center" vertical="top"/>
    </xf>
    <xf numFmtId="0" fontId="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1" fillId="2" borderId="0" xfId="1" applyBorder="1" applyAlignment="1" applyProtection="1">
      <alignment horizontal="center" vertical="top"/>
      <protection locked="0"/>
    </xf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28575</xdr:rowOff>
    </xdr:from>
    <xdr:to>
      <xdr:col>6</xdr:col>
      <xdr:colOff>200025</xdr:colOff>
      <xdr:row>7</xdr:row>
      <xdr:rowOff>118783</xdr:rowOff>
    </xdr:to>
    <xdr:grpSp>
      <xdr:nvGrpSpPr>
        <xdr:cNvPr id="8" name="Gruppieren 7"/>
        <xdr:cNvGrpSpPr/>
      </xdr:nvGrpSpPr>
      <xdr:grpSpPr>
        <a:xfrm>
          <a:off x="95251" y="28575"/>
          <a:ext cx="8329892" cy="1423708"/>
          <a:chOff x="6196450" y="0"/>
          <a:chExt cx="6069417" cy="1149269"/>
        </a:xfrm>
      </xdr:grpSpPr>
      <xdr:sp macro="" textlink="">
        <xdr:nvSpPr>
          <xdr:cNvPr id="9" name="Textfeld 8"/>
          <xdr:cNvSpPr txBox="1"/>
        </xdr:nvSpPr>
        <xdr:spPr>
          <a:xfrm>
            <a:off x="10750198" y="626435"/>
            <a:ext cx="15152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Datum: 4.01.2024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Version: 1.1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Seite 1 von 1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8475306" y="1"/>
            <a:ext cx="2274337" cy="6264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400" b="1">
                <a:latin typeface="Verdana" panose="020B0604030504040204" pitchFamily="34" charset="0"/>
                <a:ea typeface="Verdana" panose="020B0604030504040204" pitchFamily="34" charset="0"/>
              </a:rPr>
              <a:t>Formblatt</a:t>
            </a:r>
          </a:p>
        </xdr:txBody>
      </xdr:sp>
      <xdr:sp macro="" textlink="">
        <xdr:nvSpPr>
          <xdr:cNvPr id="11" name="Textfeld 10"/>
          <xdr:cNvSpPr txBox="1"/>
        </xdr:nvSpPr>
        <xdr:spPr>
          <a:xfrm>
            <a:off x="10749644" y="0"/>
            <a:ext cx="1516223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Dateiname: Reihenfolge der Proben bei der Elite InGenius</a:t>
            </a:r>
            <a:r>
              <a:rPr lang="de-DE" sz="800" b="1" baseline="0">
                <a:latin typeface="Verdana" panose="020B0604030504040204" pitchFamily="34" charset="0"/>
                <a:ea typeface="Verdana" panose="020B0604030504040204" pitchFamily="34" charset="0"/>
              </a:rPr>
              <a:t> Präparation</a:t>
            </a:r>
            <a:endParaRPr lang="de-DE" sz="800" b="1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l"/>
            <a:endParaRPr lang="de-DE" sz="800" b="0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6196450" y="626436"/>
            <a:ext cx="45537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200" b="1">
                <a:latin typeface="Verdana" panose="020B0604030504040204" pitchFamily="34" charset="0"/>
                <a:ea typeface="Verdana" panose="020B0604030504040204" pitchFamily="34" charset="0"/>
              </a:rPr>
              <a:t>Reihenfolge der Proben bei der Elite InGenius Präparation</a:t>
            </a:r>
          </a:p>
        </xdr:txBody>
      </xdr:sp>
      <xdr:sp macro="" textlink="">
        <xdr:nvSpPr>
          <xdr:cNvPr id="13" name="Textfeld 12"/>
          <xdr:cNvSpPr txBox="1"/>
        </xdr:nvSpPr>
        <xdr:spPr>
          <a:xfrm>
            <a:off x="6196450" y="0"/>
            <a:ext cx="2281237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de-DE" sz="2400" b="1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14" name="Grafik 13"/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70842" y="14286"/>
            <a:ext cx="1872000" cy="602611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7</xdr:row>
          <xdr:rowOff>171450</xdr:rowOff>
        </xdr:from>
        <xdr:to>
          <xdr:col>10</xdr:col>
          <xdr:colOff>114300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0" anchor="t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INGE LISTE SPEICHERN &amp; DRUCKEN            (LP-PCR3)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9:G39"/>
  <sheetViews>
    <sheetView tabSelected="1" view="pageBreakPreview" zoomScale="85" zoomScaleNormal="100" zoomScaleSheetLayoutView="85" workbookViewId="0">
      <selection activeCell="F9" sqref="F9"/>
    </sheetView>
  </sheetViews>
  <sheetFormatPr baseColWidth="10" defaultColWidth="9.140625" defaultRowHeight="15" x14ac:dyDescent="0.25"/>
  <cols>
    <col min="1" max="1" width="5.5703125" customWidth="1"/>
    <col min="2" max="2" width="28.28515625" customWidth="1"/>
    <col min="3" max="3" width="20.7109375" bestFit="1" customWidth="1"/>
    <col min="4" max="4" width="9.7109375" customWidth="1"/>
    <col min="5" max="5" width="26.42578125" customWidth="1"/>
    <col min="6" max="6" width="32.7109375" customWidth="1"/>
    <col min="7" max="7" width="5.85546875" customWidth="1"/>
  </cols>
  <sheetData>
    <row r="9" spans="1:7" ht="27" x14ac:dyDescent="0.35">
      <c r="A9" t="s">
        <v>2</v>
      </c>
      <c r="B9" s="16"/>
      <c r="C9" s="11"/>
      <c r="D9" s="12"/>
      <c r="E9" s="12"/>
    </row>
    <row r="11" spans="1:7" x14ac:dyDescent="0.25">
      <c r="A11" s="9" t="s">
        <v>1</v>
      </c>
      <c r="B11" s="9" t="s">
        <v>12</v>
      </c>
      <c r="C11" s="9" t="s">
        <v>6</v>
      </c>
      <c r="D11" s="9" t="s">
        <v>3</v>
      </c>
      <c r="E11" s="9" t="s">
        <v>13</v>
      </c>
      <c r="F11" s="10" t="s">
        <v>0</v>
      </c>
      <c r="G11" s="9" t="s">
        <v>1</v>
      </c>
    </row>
    <row r="12" spans="1:7" ht="56.85" customHeight="1" x14ac:dyDescent="0.25">
      <c r="A12" s="13">
        <v>1</v>
      </c>
      <c r="B12" s="18"/>
      <c r="C12" s="20"/>
      <c r="D12" s="21" t="s">
        <v>16</v>
      </c>
      <c r="E12" s="19"/>
      <c r="F12" s="15" t="str">
        <f>IF(B12="","",Code128(SUBSTITUTE(LEFT(B12,FIND(",",B12)-1)," ","")))</f>
        <v/>
      </c>
      <c r="G12" s="14">
        <v>1</v>
      </c>
    </row>
    <row r="13" spans="1:7" ht="56.85" customHeight="1" x14ac:dyDescent="0.25">
      <c r="A13" s="13">
        <v>2</v>
      </c>
      <c r="B13" s="18"/>
      <c r="C13" s="20"/>
      <c r="D13" s="21" t="s">
        <v>16</v>
      </c>
      <c r="E13" s="19"/>
      <c r="F13" s="15" t="str">
        <f>IF(B13="","",Code128(SUBSTITUTE(LEFT(B13,FIND(",",B13)-1)," ","")))</f>
        <v/>
      </c>
      <c r="G13" s="14">
        <v>2</v>
      </c>
    </row>
    <row r="14" spans="1:7" ht="56.85" customHeight="1" x14ac:dyDescent="0.25">
      <c r="A14" s="13">
        <v>3</v>
      </c>
      <c r="B14" s="18"/>
      <c r="C14" s="20"/>
      <c r="D14" s="21" t="s">
        <v>16</v>
      </c>
      <c r="E14" s="19"/>
      <c r="F14" s="15" t="str">
        <f>IF(B14="","",Code128(SUBSTITUTE(LEFT(B14,FIND(",",B14)-1)," ","")))</f>
        <v/>
      </c>
      <c r="G14" s="14">
        <v>3</v>
      </c>
    </row>
    <row r="15" spans="1:7" ht="56.85" customHeight="1" x14ac:dyDescent="0.25">
      <c r="A15" s="13">
        <v>4</v>
      </c>
      <c r="B15" s="18"/>
      <c r="C15" s="20"/>
      <c r="D15" s="21" t="s">
        <v>16</v>
      </c>
      <c r="E15" s="19"/>
      <c r="F15" s="15" t="str">
        <f>IF(B15="","",Code128(SUBSTITUTE(LEFT(B15,FIND(",",B15)-1)," ","")))</f>
        <v/>
      </c>
      <c r="G15" s="14">
        <v>4</v>
      </c>
    </row>
    <row r="16" spans="1:7" ht="56.85" customHeight="1" x14ac:dyDescent="0.25">
      <c r="A16" s="13">
        <v>5</v>
      </c>
      <c r="B16" s="18"/>
      <c r="C16" s="20"/>
      <c r="D16" s="21" t="s">
        <v>16</v>
      </c>
      <c r="E16" s="19"/>
      <c r="F16" s="15" t="str">
        <f>IF(B16="","",Code128(SUBSTITUTE(LEFT(B16,FIND(",",B16)-1)," ","")))</f>
        <v/>
      </c>
      <c r="G16" s="14">
        <v>5</v>
      </c>
    </row>
    <row r="17" spans="1:7" ht="56.85" customHeight="1" x14ac:dyDescent="0.25">
      <c r="A17" s="13">
        <v>6</v>
      </c>
      <c r="B17" s="18"/>
      <c r="C17" s="20"/>
      <c r="D17" s="21" t="s">
        <v>16</v>
      </c>
      <c r="E17" s="19"/>
      <c r="F17" s="15" t="str">
        <f>IF(B17="","",Code128(SUBSTITUTE(LEFT(B17,FIND(",",B17)-1)," ","")))</f>
        <v/>
      </c>
      <c r="G17" s="14">
        <v>6</v>
      </c>
    </row>
    <row r="18" spans="1:7" ht="56.85" customHeight="1" x14ac:dyDescent="0.25">
      <c r="A18" s="13">
        <v>7</v>
      </c>
      <c r="B18" s="18"/>
      <c r="C18" s="20"/>
      <c r="D18" s="21" t="s">
        <v>16</v>
      </c>
      <c r="E18" s="19"/>
      <c r="F18" s="15" t="str">
        <f>IF(B18="","",Code128(SUBSTITUTE(LEFT(B18,FIND(",",B18)-1)," ","")))</f>
        <v/>
      </c>
      <c r="G18" s="14">
        <v>7</v>
      </c>
    </row>
    <row r="19" spans="1:7" ht="56.85" customHeight="1" x14ac:dyDescent="0.25">
      <c r="A19" s="13">
        <v>8</v>
      </c>
      <c r="B19" s="18"/>
      <c r="C19" s="20"/>
      <c r="D19" s="21" t="s">
        <v>16</v>
      </c>
      <c r="E19" s="19"/>
      <c r="F19" s="15" t="str">
        <f>IF(B19="","",Code128(SUBSTITUTE(LEFT(B19,FIND(",",B19)-1)," ","")))</f>
        <v/>
      </c>
      <c r="G19" s="14">
        <v>8</v>
      </c>
    </row>
    <row r="20" spans="1:7" ht="56.85" customHeight="1" x14ac:dyDescent="0.25">
      <c r="A20" s="13">
        <v>9</v>
      </c>
      <c r="B20" s="18"/>
      <c r="C20" s="20"/>
      <c r="D20" s="21" t="s">
        <v>16</v>
      </c>
      <c r="E20" s="19"/>
      <c r="F20" s="15" t="str">
        <f>IF(B20="","",Code128(SUBSTITUTE(LEFT(B20,FIND(",",B20)-1)," ","")))</f>
        <v/>
      </c>
      <c r="G20" s="14">
        <v>9</v>
      </c>
    </row>
    <row r="21" spans="1:7" ht="56.85" customHeight="1" x14ac:dyDescent="0.25">
      <c r="A21" s="13">
        <v>10</v>
      </c>
      <c r="B21" s="18"/>
      <c r="C21" s="20"/>
      <c r="D21" s="21" t="s">
        <v>16</v>
      </c>
      <c r="E21" s="19"/>
      <c r="F21" s="15" t="str">
        <f>IF(B21="","",Code128(SUBSTITUTE(LEFT(B21,FIND(",",B21)-1)," ","")))</f>
        <v/>
      </c>
      <c r="G21" s="14">
        <v>10</v>
      </c>
    </row>
    <row r="22" spans="1:7" ht="56.85" customHeight="1" x14ac:dyDescent="0.25">
      <c r="A22" s="13">
        <v>11</v>
      </c>
      <c r="B22" s="18"/>
      <c r="C22" s="20"/>
      <c r="D22" s="21"/>
      <c r="E22" s="19"/>
      <c r="F22" s="15" t="str">
        <f>IF(B22="","",Code128(SUBSTITUTE(LEFT(B22,FIND(",",B22)-1)," ","")))</f>
        <v/>
      </c>
      <c r="G22" s="14">
        <v>11</v>
      </c>
    </row>
    <row r="23" spans="1:7" ht="56.85" customHeight="1" x14ac:dyDescent="0.25">
      <c r="A23" s="13">
        <v>12</v>
      </c>
      <c r="B23" s="18"/>
      <c r="C23" s="20"/>
      <c r="D23" s="21"/>
      <c r="E23" s="19"/>
      <c r="F23" s="15" t="str">
        <f>IF(B23="","",Code128(SUBSTITUTE(LEFT(B23,FIND(",",B23)-1)," ","")))</f>
        <v/>
      </c>
      <c r="G23" s="14">
        <v>12</v>
      </c>
    </row>
    <row r="25" spans="1:7" ht="15.75" x14ac:dyDescent="0.25">
      <c r="B25" s="3"/>
      <c r="C25" s="4"/>
      <c r="D25" s="4"/>
      <c r="E25" s="4"/>
      <c r="F25" s="4"/>
      <c r="G25" s="4"/>
    </row>
    <row r="26" spans="1:7" ht="15.75" x14ac:dyDescent="0.25">
      <c r="B26" s="3" t="s">
        <v>7</v>
      </c>
      <c r="C26" s="3"/>
      <c r="D26" s="5"/>
      <c r="E26" s="5"/>
      <c r="F26" s="1"/>
      <c r="G26" s="1"/>
    </row>
    <row r="27" spans="1:7" ht="15.75" x14ac:dyDescent="0.25">
      <c r="B27" s="2"/>
      <c r="C27" s="6"/>
      <c r="D27" s="5"/>
      <c r="E27" s="6"/>
      <c r="F27" s="17" t="s">
        <v>15</v>
      </c>
      <c r="G27" s="8"/>
    </row>
    <row r="28" spans="1:7" ht="15.75" x14ac:dyDescent="0.25">
      <c r="B28" s="2" t="s">
        <v>8</v>
      </c>
      <c r="C28" s="5"/>
      <c r="D28" s="5"/>
      <c r="E28" s="5"/>
      <c r="F28" s="17" t="s">
        <v>14</v>
      </c>
      <c r="G28" s="8"/>
    </row>
    <row r="29" spans="1:7" ht="15.75" x14ac:dyDescent="0.25">
      <c r="A29" s="2"/>
      <c r="B29" s="2"/>
      <c r="C29" s="6"/>
      <c r="D29" s="5"/>
      <c r="E29" s="6"/>
      <c r="F29" s="22" t="s">
        <v>4</v>
      </c>
      <c r="G29" s="22"/>
    </row>
    <row r="30" spans="1:7" ht="15.75" x14ac:dyDescent="0.25">
      <c r="A30" s="3"/>
      <c r="B30" s="2" t="s">
        <v>9</v>
      </c>
      <c r="C30" s="5"/>
      <c r="D30" s="7"/>
      <c r="E30" s="7"/>
      <c r="F30" s="5"/>
      <c r="G30" s="5"/>
    </row>
    <row r="31" spans="1:7" ht="15.75" x14ac:dyDescent="0.25">
      <c r="A31" s="2"/>
      <c r="B31" s="2"/>
      <c r="C31" s="6"/>
      <c r="D31" s="7"/>
      <c r="E31" s="7"/>
      <c r="F31" s="6"/>
      <c r="G31" s="6"/>
    </row>
    <row r="32" spans="1:7" ht="15.75" x14ac:dyDescent="0.25">
      <c r="A32" s="2"/>
      <c r="B32" s="2" t="s">
        <v>5</v>
      </c>
      <c r="C32" s="5"/>
      <c r="D32" s="5"/>
      <c r="E32" s="6"/>
      <c r="F32" s="6"/>
      <c r="G32" s="6"/>
    </row>
    <row r="33" spans="1:7" ht="15.75" x14ac:dyDescent="0.25">
      <c r="A33" s="2"/>
      <c r="B33" s="2"/>
      <c r="C33" s="6"/>
      <c r="D33" s="5"/>
      <c r="E33" s="6"/>
      <c r="F33" s="6"/>
      <c r="G33" s="6"/>
    </row>
    <row r="34" spans="1:7" ht="15.75" x14ac:dyDescent="0.25">
      <c r="A34" s="2"/>
      <c r="B34" s="2" t="s">
        <v>10</v>
      </c>
      <c r="C34" s="5"/>
      <c r="D34" s="5"/>
      <c r="E34" s="6"/>
      <c r="F34" s="6"/>
      <c r="G34" s="6"/>
    </row>
    <row r="35" spans="1:7" x14ac:dyDescent="0.25">
      <c r="A35" s="4"/>
      <c r="B35" s="5"/>
      <c r="C35" s="5"/>
      <c r="D35" s="5"/>
      <c r="E35" s="5"/>
      <c r="G35" s="5"/>
    </row>
    <row r="36" spans="1:7" ht="15.75" x14ac:dyDescent="0.25">
      <c r="A36" s="2"/>
      <c r="B36" s="2" t="s">
        <v>17</v>
      </c>
      <c r="C36" s="5"/>
      <c r="D36" s="5"/>
      <c r="E36" s="6"/>
      <c r="F36" t="s">
        <v>11</v>
      </c>
    </row>
    <row r="37" spans="1:7" ht="15.75" x14ac:dyDescent="0.25">
      <c r="A37" s="2"/>
      <c r="B37" s="2"/>
      <c r="C37" s="6"/>
      <c r="D37" s="5"/>
      <c r="E37" s="6"/>
    </row>
    <row r="38" spans="1:7" ht="15.75" x14ac:dyDescent="0.25">
      <c r="A38" s="5"/>
      <c r="B38" s="2"/>
      <c r="C38" s="5"/>
      <c r="D38" s="5"/>
      <c r="E38" s="6"/>
    </row>
    <row r="39" spans="1:7" x14ac:dyDescent="0.25">
      <c r="A39" s="4"/>
      <c r="B39" s="5"/>
      <c r="C39" s="5"/>
      <c r="D39" s="5"/>
      <c r="E39" s="5"/>
      <c r="F39" s="5"/>
      <c r="G39" s="5"/>
    </row>
  </sheetData>
  <mergeCells count="1">
    <mergeCell ref="F29:G29"/>
  </mergeCells>
  <printOptions horizontalCentered="1" verticalCentered="1"/>
  <pageMargins left="0.23622047244094491" right="0.23622047244094491" top="0" bottom="0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Drucken_LP_PCR3">
                <anchor moveWithCells="1" sizeWithCells="1">
                  <from>
                    <xdr:col>7</xdr:col>
                    <xdr:colOff>333375</xdr:colOff>
                    <xdr:row>7</xdr:row>
                    <xdr:rowOff>171450</xdr:rowOff>
                  </from>
                  <to>
                    <xdr:col>10</xdr:col>
                    <xdr:colOff>114300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2024-01-04T10:38:00Z</dcterms:modified>
</cp:coreProperties>
</file>